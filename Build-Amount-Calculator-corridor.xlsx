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Cainta 6kW" sheetId="2" state="visible" r:id="rId2"/>
    <sheet name="Tacloban 6kW" sheetId="3" state="visible" r:id="rId3"/>
    <sheet name="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  <color rgb="00526970"/>
      <sz val="9"/>
    </font>
    <font>
      <b val="1"/>
      <color rgb="00235F8C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FFF3D6"/>
      </patternFill>
    </fill>
    <fill>
      <patternFill patternType="solid">
        <fgColor rgb="00E8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2" borderId="0" pivotButton="0" quotePrefix="0" xfId="0"/>
    <xf numFmtId="43" fontId="0" fillId="2" borderId="0" pivotButton="0" quotePrefix="0" xfId="0"/>
    <xf numFmtId="43" fontId="0" fillId="0" borderId="0" pivotButton="0" quotePrefix="0" xfId="0"/>
    <xf numFmtId="164" fontId="0" fillId="2" borderId="0" pivotButton="0" quotePrefix="0" xfId="0"/>
    <xf numFmtId="0" fontId="5" fillId="0" borderId="0" pivotButton="0" quotePrefix="0" xfId="0"/>
    <xf numFmtId="43" fontId="5" fillId="0" borderId="0" pivotButton="0" quotePrefix="0" xfId="0"/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dxfs count="1">
    <dxf>
      <font>
        <b val="1"/>
        <color rgb="00B8452F"/>
      </font>
      <fill>
        <patternFill patternType="solid">
          <fgColor rgb="00FBE4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Build Amount Calculator — corridor-first</t>
        </is>
      </c>
    </row>
    <row r="3" ht="30" customHeight="1">
      <c r="A3" s="2" t="inlineStr">
        <is>
          <t>1.  Fill only the AMBER cells (market benchmark, undercut, supplier costs, rates). Everything else computes.</t>
        </is>
      </c>
    </row>
    <row r="4" ht="30" customHeight="1">
      <c r="A4" s="2" t="inlineStr">
        <is>
          <t>2.  The price comes from the corridor — competitor ₱/kW, genset+fuel, the Meralco bill — never from cost + markup. Cost-plus is banned in every spreadsheet (Founder OS §3).</t>
        </is>
      </c>
    </row>
    <row r="5" ht="30" customHeight="1">
      <c r="A5" s="2" t="inlineStr">
        <is>
          <t>3.  A quote may be sent only when Margin Status reads OK and every ☐ in the pre-send checklist is flipped to ☑ (Founder OS §7).</t>
        </is>
      </c>
    </row>
    <row r="6" ht="30" customHeight="1">
      <c r="A6" s="2" t="inlineStr">
        <is>
          <t>4.  TRUE NET is the honest take-home: gross margin minus referral fee, tax set-aside, permits, warranty reserve. The old calculator's “Net Sales” overstated take-home by roughly ₱25–30k per 6 kW job.</t>
        </is>
      </c>
    </row>
    <row r="7" ht="30" customHeight="1">
      <c r="A7" s="2" t="inlineStr">
        <is>
          <t>5.  Open items for the founders (log decisions in ops/status.md): misc rate 18% here vs ≈5% in the meeting-#7 quotation template; margin floor (20% is a placeholder, not a house default); permits allowance and warranty reserve are UNVERIFIED placeholders.</t>
        </is>
      </c>
    </row>
    <row r="8" ht="30" customHeight="1">
      <c r="A8" s="2" t="inlineStr">
        <is>
          <t>6.  6 kW+ prospects sit above the published residential ladder (max 4 kWp) — they are whole-cow / SANDIGAN+ demand evidence, not a new SKU (Founder OS §3).</t>
        </is>
      </c>
    </row>
    <row r="9" ht="30" customHeight="1">
      <c r="A9" s="2" t="inlineStr">
        <is>
          <t>7.  “Template” sheet = blank copy for the next prospect. Duplicate it, rename to the project, fill the amber cells.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" customWidth="1" min="3" max="3"/>
    <col width="78" customWidth="1" min="4" max="4"/>
  </cols>
  <sheetData>
    <row r="1">
      <c r="A1" s="1" t="inlineStr">
        <is>
          <t>MACC Systems &amp; Engineering Inc.</t>
        </is>
      </c>
    </row>
    <row r="2">
      <c r="A2" s="3" t="inlineStr">
        <is>
          <t>Corridor-priced build — Cainta 6kW</t>
        </is>
      </c>
    </row>
    <row r="3">
      <c r="A3" s="4" t="inlineStr">
        <is>
          <t>Amber cells are inputs. Price is set from the market FIRST; margin is the check. Cost-plus is banned (Founder OS §3).</t>
        </is>
      </c>
    </row>
    <row r="5">
      <c r="A5" s="5" t="inlineStr">
        <is>
          <t>MARKET → PRICE (set first)</t>
        </is>
      </c>
      <c r="D5" s="5" t="inlineStr">
        <is>
          <t>TERMS &amp; NOTES</t>
        </is>
      </c>
    </row>
    <row r="6" ht="42" customHeight="1">
      <c r="A6" t="inlineStr">
        <is>
          <t>System size (kW)</t>
        </is>
      </c>
      <c r="B6" s="6" t="n">
        <v>6</v>
      </c>
      <c r="D6" s="4" t="inlineStr">
        <is>
          <t>Corridor price — set from what the buyer already pays for the alternatives (established installer ≈₱70k/kW, genset + fuel, the Meralco bill). The price is an INPUT from the market; margin is the OUTPUT. Never markup-on-cost (Founder OS §3).</t>
        </is>
      </c>
    </row>
    <row r="7" ht="42" customHeight="1">
      <c r="A7" t="inlineStr">
        <is>
          <t>Competitor benchmark (₱ per kW)</t>
        </is>
      </c>
      <c r="B7" s="7" t="n">
        <v>70000</v>
      </c>
      <c r="D7" s="4" t="inlineStr">
        <is>
          <t>Benchmark — Lacosta ≈₱70,000 per kW (undated quote — verify before every send; prices move fast).</t>
        </is>
      </c>
    </row>
    <row r="8" ht="42" customHeight="1">
      <c r="A8" t="inlineStr">
        <is>
          <t>Benchmark project total</t>
        </is>
      </c>
      <c r="B8" s="8">
        <f>B6*B7</f>
        <v/>
      </c>
      <c r="D8" s="4" t="inlineStr">
        <is>
          <t>Purchases — supplier-quoted major devices: inverter, panels, battery, DC cables.</t>
        </is>
      </c>
    </row>
    <row r="9" ht="42" customHeight="1">
      <c r="A9" t="inlineStr">
        <is>
          <t>Target undercut vs benchmark</t>
        </is>
      </c>
      <c r="B9" s="9" t="n">
        <v>0.05</v>
      </c>
      <c r="D9" s="4" t="inlineStr">
        <is>
          <t>Delivery — all shipping/pick-up expenses related to the purchases.</t>
        </is>
      </c>
    </row>
    <row r="10" ht="42" customHeight="1">
      <c r="A10" s="10" t="inlineStr">
        <is>
          <t>PROJECT PRICE (the quoted number)</t>
        </is>
      </c>
      <c r="B10" s="11">
        <f>ROUND(B8*(1-B9),-2)</f>
        <v/>
      </c>
      <c r="D10" s="4" t="inlineStr">
        <is>
          <t>Miscellaneous — connectors, SPD, breakers, moulding, disposable tools. ⚠ This sheet carries the historical 18%; meeting #7's quotation template says ≈5% of material cost. UNRESOLVED — founders reconcile and log the chosen rate in ops/status.md.</t>
        </is>
      </c>
    </row>
    <row r="11" ht="42" customHeight="1">
      <c r="A11" t="inlineStr">
        <is>
          <t>Our ₱ per kW</t>
        </is>
      </c>
      <c r="B11" s="8">
        <f>IFERROR(B10/B6,0)</f>
        <v/>
      </c>
      <c r="D11" s="4" t="inlineStr">
        <is>
          <t>Labor — computed on hardware + delivery + misc, so it compounds: effective overhead ≈ (1+misc)×(1+labor)−1 ≈ 35.7% at 18%/15%.</t>
        </is>
      </c>
    </row>
    <row r="12" ht="42" customHeight="1">
      <c r="A12" t="inlineStr">
        <is>
          <t>Customer saves vs benchmark</t>
        </is>
      </c>
      <c r="B12" s="8">
        <f>B8-B10</f>
        <v/>
      </c>
      <c r="C12" s="12">
        <f>IFERROR(1-B10/B8,0)</f>
        <v/>
      </c>
      <c r="D12" s="4" t="inlineStr">
        <is>
          <t>Margin floor — minimum gross-margin %, a founder decision with no house default yet. Set it once, log it in ops/status.md.</t>
        </is>
      </c>
    </row>
    <row r="13" ht="42" customHeight="1">
      <c r="D13" s="4" t="inlineStr">
        <is>
          <t>True net — gross margin minus referral (₱1,000/kW per meeting #7), tax set-aside (3% percentage tax if non-VAT; 12% VAT regime differs — confirm BIR registration with the accountant), permits, and warranty reserve. The old sheet's “NET SALES” counted none of these.</t>
        </is>
      </c>
    </row>
    <row r="14" ht="42" customHeight="1">
      <c r="A14" s="5" t="inlineStr">
        <is>
          <t>COST STACK (target-costed to the price)</t>
        </is>
      </c>
      <c r="D14" s="4" t="inlineStr">
        <is>
          <t>Scope note — 6 kW is ABOVE the published residential ladder (tops out at 4 kWp). These projects are logged as whole-cow / SANDIGAN+ demand evidence (Founder OS §3), not as a new SKU.</t>
        </is>
      </c>
    </row>
    <row r="15">
      <c r="A15" t="inlineStr">
        <is>
          <t>Hybrid inverter 6 kW</t>
        </is>
      </c>
      <c r="B15" s="7" t="n">
        <v>36000</v>
      </c>
    </row>
    <row r="16">
      <c r="A16" t="inlineStr">
        <is>
          <t>Solar panels 10 × 615 W</t>
        </is>
      </c>
      <c r="B16" s="7" t="n">
        <v>72000</v>
      </c>
    </row>
    <row r="17">
      <c r="A17" t="inlineStr">
        <is>
          <t>Battery 51.2 V 200 Ah</t>
        </is>
      </c>
      <c r="B17" s="7" t="n">
        <v>72000</v>
      </c>
    </row>
    <row r="18">
      <c r="A18" t="inlineStr">
        <is>
          <t>DC cables</t>
        </is>
      </c>
      <c r="B18" s="7" t="n">
        <v>11000</v>
      </c>
    </row>
    <row r="19">
      <c r="A19" t="inlineStr">
        <is>
          <t>Delivery / freight (from supplier)</t>
        </is>
      </c>
      <c r="B19" s="7" t="n">
        <v>35000</v>
      </c>
    </row>
    <row r="20">
      <c r="A20" s="10" t="inlineStr">
        <is>
          <t>Subtotal — hardware + delivery</t>
        </is>
      </c>
      <c r="B20" s="11">
        <f>SUM(B15:B19)</f>
        <v/>
      </c>
    </row>
    <row r="21">
      <c r="A21" t="inlineStr">
        <is>
          <t>Miscellaneous rate</t>
        </is>
      </c>
      <c r="B21" s="9" t="n">
        <v>0.18</v>
      </c>
    </row>
    <row r="22">
      <c r="A22" t="inlineStr">
        <is>
          <t>Miscellaneous (connectors, SPD, breakers, moulding, tools)</t>
        </is>
      </c>
      <c r="B22" s="8">
        <f>B20*B21</f>
        <v/>
      </c>
    </row>
    <row r="23">
      <c r="A23" t="inlineStr">
        <is>
          <t>Labor rate (on hardware + delivery + misc)</t>
        </is>
      </c>
      <c r="B23" s="9" t="n">
        <v>0.15</v>
      </c>
    </row>
    <row r="24">
      <c r="A24" t="inlineStr">
        <is>
          <t>Labor (salary, mobilization, install team)</t>
        </is>
      </c>
      <c r="B24" s="8">
        <f>(B20+B22)*B23</f>
        <v/>
      </c>
    </row>
    <row r="25">
      <c r="A25" s="10" t="inlineStr">
        <is>
          <t>OVERALL COST</t>
        </is>
      </c>
      <c r="B25" s="11">
        <f>B20+B22+B24</f>
        <v/>
      </c>
    </row>
    <row r="27">
      <c r="A27" s="5" t="inlineStr">
        <is>
          <t>MARGIN CHECK (output, never the driver)</t>
        </is>
      </c>
    </row>
    <row r="28">
      <c r="A28" t="inlineStr">
        <is>
          <t>Gross margin (price − cost)</t>
        </is>
      </c>
      <c r="B28" s="11">
        <f>B10-B25</f>
        <v/>
      </c>
    </row>
    <row r="29">
      <c r="A29" t="inlineStr">
        <is>
          <t>Gross margin % of price</t>
        </is>
      </c>
      <c r="B29" s="12">
        <f>IFERROR(B28/B10,0)</f>
        <v/>
      </c>
    </row>
    <row r="30">
      <c r="A30" t="inlineStr">
        <is>
          <t>Margin floor (NO house default — founders set &amp; log)</t>
        </is>
      </c>
      <c r="B30" s="9" t="n">
        <v>0.2</v>
      </c>
    </row>
    <row r="31">
      <c r="A31" s="10" t="inlineStr">
        <is>
          <t>Status</t>
        </is>
      </c>
      <c r="B31" s="13">
        <f>IF(B29&gt;=B30,"OK — clears floor","BELOW FLOOR by "&amp;TEXT(B30-B29,"0.0%")&amp;" — re-cost or re-scope, do NOT discount below corridor")</f>
        <v/>
      </c>
    </row>
    <row r="33">
      <c r="A33" s="5" t="inlineStr">
        <is>
          <t>TRUE NET (what actually lands — the old sheet's “Net Sales” ignored all of this)</t>
        </is>
      </c>
    </row>
    <row r="34">
      <c r="A34" t="inlineStr">
        <is>
          <t>Referral rate (₱ per kW — meeting #7)</t>
        </is>
      </c>
      <c r="B34" s="7" t="n">
        <v>1000</v>
      </c>
    </row>
    <row r="35">
      <c r="A35" t="inlineStr">
        <is>
          <t>Referral fee</t>
        </is>
      </c>
      <c r="B35" s="8">
        <f>B34*B6</f>
        <v/>
      </c>
    </row>
    <row r="36">
      <c r="A36" t="inlineStr">
        <is>
          <t>Tax set-aside rate  [CONFIRM with accountant]</t>
        </is>
      </c>
      <c r="B36" s="9" t="n">
        <v>0.03</v>
      </c>
    </row>
    <row r="37">
      <c r="A37" t="inlineStr">
        <is>
          <t>Tax set-aside (rate × price)</t>
        </is>
      </c>
      <c r="B37" s="8">
        <f>B10*B36</f>
        <v/>
      </c>
    </row>
    <row r="38">
      <c r="A38" t="inlineStr">
        <is>
          <t>Permits &amp; fees allowance  [UNVERIFIED — replace]</t>
        </is>
      </c>
      <c r="B38" s="7" t="n">
        <v>5000</v>
      </c>
    </row>
    <row r="39">
      <c r="A39" t="inlineStr">
        <is>
          <t>Warranty reserve rate  [UNVERIFIED — founders set]</t>
        </is>
      </c>
      <c r="B39" s="9" t="n">
        <v>0.02</v>
      </c>
    </row>
    <row r="40">
      <c r="A40" t="inlineStr">
        <is>
          <t>Warranty reserve (rate × price)</t>
        </is>
      </c>
      <c r="B40" s="8">
        <f>B10*B39</f>
        <v/>
      </c>
    </row>
    <row r="41">
      <c r="A41" s="10" t="inlineStr">
        <is>
          <t>TRUE NET</t>
        </is>
      </c>
      <c r="B41" s="11">
        <f>B28-B35-B37-B38-B40</f>
        <v/>
      </c>
    </row>
    <row r="42">
      <c r="A42" t="inlineStr">
        <is>
          <t>True net % of price</t>
        </is>
      </c>
      <c r="B42" s="12">
        <f>IFERROR(B41/B10,0)</f>
        <v/>
      </c>
    </row>
    <row r="44">
      <c r="A44" s="5" t="inlineStr">
        <is>
          <t>PRE-SEND CHECKLIST — quote goes out ONLY when every box is ☑ (Founder OS §7)</t>
        </is>
      </c>
    </row>
    <row r="45">
      <c r="A45" s="2" t="inlineStr">
        <is>
          <t>☐ Permit path confirmed (LGU electrical permit; HOA rules if applicable)</t>
        </is>
      </c>
    </row>
    <row r="46">
      <c r="A46" s="2" t="inlineStr">
        <is>
          <t>☐ Licensed electrician sign-off arranged and named</t>
        </is>
      </c>
    </row>
    <row r="47">
      <c r="A47" s="2" t="inlineStr">
        <is>
          <t>☐ Net-metering decision documented (hybrid: optional — state it either way)</t>
        </is>
      </c>
    </row>
    <row r="48">
      <c r="A48" s="2" t="inlineStr">
        <is>
          <t>☐ Backup-hours claim computed from battery size honestly — no inflation (§1.6)</t>
        </is>
      </c>
    </row>
    <row r="49">
      <c r="A49" s="2" t="inlineStr">
        <is>
          <t>☐ Payment terms per meeting #7: 30–50% down, balance 30 days on acknowledgement</t>
        </is>
      </c>
    </row>
    <row r="50">
      <c r="A50" s="2" t="inlineStr">
        <is>
          <t>☐ Benchmark price re-verified this month (competitor quotes move)</t>
        </is>
      </c>
    </row>
  </sheetData>
  <conditionalFormatting sqref="B31">
    <cfRule type="expression" priority="1" dxfId="0">
      <formula>$B$29&lt;$B$30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" customWidth="1" min="3" max="3"/>
    <col width="78" customWidth="1" min="4" max="4"/>
  </cols>
  <sheetData>
    <row r="1">
      <c r="A1" s="1" t="inlineStr">
        <is>
          <t>MACC Systems &amp; Engineering Inc.</t>
        </is>
      </c>
    </row>
    <row r="2">
      <c r="A2" s="3" t="inlineStr">
        <is>
          <t>Corridor-priced build — Tacloban 6kW</t>
        </is>
      </c>
    </row>
    <row r="3">
      <c r="A3" s="4" t="inlineStr">
        <is>
          <t>Amber cells are inputs. Price is set from the market FIRST; margin is the check. Cost-plus is banned (Founder OS §3).</t>
        </is>
      </c>
    </row>
    <row r="5">
      <c r="A5" s="5" t="inlineStr">
        <is>
          <t>MARKET → PRICE (set first)</t>
        </is>
      </c>
      <c r="D5" s="5" t="inlineStr">
        <is>
          <t>TERMS &amp; NOTES</t>
        </is>
      </c>
    </row>
    <row r="6" ht="42" customHeight="1">
      <c r="A6" t="inlineStr">
        <is>
          <t>System size (kW)</t>
        </is>
      </c>
      <c r="B6" s="6" t="n">
        <v>6</v>
      </c>
      <c r="D6" s="4" t="inlineStr">
        <is>
          <t>Corridor price — set from what the buyer already pays for the alternatives (established installer ≈₱70k/kW, genset + fuel, the Meralco bill). The price is an INPUT from the market; margin is the OUTPUT. Never markup-on-cost (Founder OS §3).</t>
        </is>
      </c>
    </row>
    <row r="7" ht="42" customHeight="1">
      <c r="A7" t="inlineStr">
        <is>
          <t>Competitor benchmark (₱ per kW)</t>
        </is>
      </c>
      <c r="B7" s="7" t="n">
        <v>70000</v>
      </c>
      <c r="D7" s="4" t="inlineStr">
        <is>
          <t>Benchmark — Lacosta ≈₱70,000 per kW (undated quote — verify before every send; prices move fast).</t>
        </is>
      </c>
    </row>
    <row r="8" ht="42" customHeight="1">
      <c r="A8" t="inlineStr">
        <is>
          <t>Benchmark project total</t>
        </is>
      </c>
      <c r="B8" s="8">
        <f>B6*B7</f>
        <v/>
      </c>
      <c r="D8" s="4" t="inlineStr">
        <is>
          <t>Purchases — supplier-quoted major devices: inverter, panels, battery, DC cables.</t>
        </is>
      </c>
    </row>
    <row r="9" ht="42" customHeight="1">
      <c r="A9" t="inlineStr">
        <is>
          <t>Target undercut vs benchmark</t>
        </is>
      </c>
      <c r="B9" s="9" t="n">
        <v>0.03</v>
      </c>
      <c r="D9" s="4" t="inlineStr">
        <is>
          <t>Delivery — all shipping/pick-up expenses related to the purchases.</t>
        </is>
      </c>
    </row>
    <row r="10" ht="42" customHeight="1">
      <c r="A10" s="10" t="inlineStr">
        <is>
          <t>PROJECT PRICE (the quoted number)</t>
        </is>
      </c>
      <c r="B10" s="11">
        <f>ROUND(B8*(1-B9),-2)</f>
        <v/>
      </c>
      <c r="D10" s="4" t="inlineStr">
        <is>
          <t>Miscellaneous — connectors, SPD, breakers, moulding, disposable tools. ⚠ This sheet carries the historical 18%; meeting #7's quotation template says ≈5% of material cost. UNRESOLVED — founders reconcile and log the chosen rate in ops/status.md.</t>
        </is>
      </c>
    </row>
    <row r="11" ht="42" customHeight="1">
      <c r="A11" t="inlineStr">
        <is>
          <t>Our ₱ per kW</t>
        </is>
      </c>
      <c r="B11" s="8">
        <f>IFERROR(B10/B6,0)</f>
        <v/>
      </c>
      <c r="D11" s="4" t="inlineStr">
        <is>
          <t>Labor — computed on hardware + delivery + misc, so it compounds: effective overhead ≈ (1+misc)×(1+labor)−1 ≈ 35.7% at 18%/15%.</t>
        </is>
      </c>
    </row>
    <row r="12" ht="42" customHeight="1">
      <c r="A12" t="inlineStr">
        <is>
          <t>Customer saves vs benchmark</t>
        </is>
      </c>
      <c r="B12" s="8">
        <f>B8-B10</f>
        <v/>
      </c>
      <c r="C12" s="12">
        <f>IFERROR(1-B10/B8,0)</f>
        <v/>
      </c>
      <c r="D12" s="4" t="inlineStr">
        <is>
          <t>Margin floor — minimum gross-margin %, a founder decision with no house default yet. Set it once, log it in ops/status.md.</t>
        </is>
      </c>
    </row>
    <row r="13" ht="42" customHeight="1">
      <c r="D13" s="4" t="inlineStr">
        <is>
          <t>True net — gross margin minus referral (₱1,000/kW per meeting #7), tax set-aside (3% percentage tax if non-VAT; 12% VAT regime differs — confirm BIR registration with the accountant), permits, and warranty reserve. The old sheet's “NET SALES” counted none of these.</t>
        </is>
      </c>
    </row>
    <row r="14" ht="42" customHeight="1">
      <c r="A14" s="5" t="inlineStr">
        <is>
          <t>COST STACK (target-costed to the price)</t>
        </is>
      </c>
      <c r="D14" s="4" t="inlineStr">
        <is>
          <t>Scope note — 6 kW is ABOVE the published residential ladder (tops out at 4 kWp). These projects are logged as whole-cow / SANDIGAN+ demand evidence (Founder OS §3), not as a new SKU.</t>
        </is>
      </c>
    </row>
    <row r="15">
      <c r="A15" t="inlineStr">
        <is>
          <t>Hybrid inverter 6 kW</t>
        </is>
      </c>
      <c r="B15" s="7" t="n">
        <v>50400</v>
      </c>
    </row>
    <row r="16">
      <c r="A16" t="inlineStr">
        <is>
          <t>Solar panels 10 × 615 W</t>
        </is>
      </c>
      <c r="B16" s="7" t="n">
        <v>72000</v>
      </c>
    </row>
    <row r="17">
      <c r="A17" t="inlineStr">
        <is>
          <t>Battery 51.2 V 230 Ah</t>
        </is>
      </c>
      <c r="B17" s="7" t="n">
        <v>95000</v>
      </c>
    </row>
    <row r="18">
      <c r="A18" t="inlineStr">
        <is>
          <t>DC cables</t>
        </is>
      </c>
      <c r="B18" s="7" t="n">
        <v>13000</v>
      </c>
    </row>
    <row r="19">
      <c r="A19" t="inlineStr">
        <is>
          <t>Delivery (pick-up cost)</t>
        </is>
      </c>
      <c r="B19" s="7" t="n">
        <v>10000</v>
      </c>
    </row>
    <row r="20">
      <c r="A20" s="10" t="inlineStr">
        <is>
          <t>Subtotal — hardware + delivery</t>
        </is>
      </c>
      <c r="B20" s="11">
        <f>SUM(B15:B19)</f>
        <v/>
      </c>
    </row>
    <row r="21">
      <c r="A21" t="inlineStr">
        <is>
          <t>Miscellaneous rate</t>
        </is>
      </c>
      <c r="B21" s="9" t="n">
        <v>0.18</v>
      </c>
    </row>
    <row r="22">
      <c r="A22" t="inlineStr">
        <is>
          <t>Miscellaneous (connectors, SPD, breakers, moulding, tools)</t>
        </is>
      </c>
      <c r="B22" s="8">
        <f>B20*B21</f>
        <v/>
      </c>
    </row>
    <row r="23">
      <c r="A23" t="inlineStr">
        <is>
          <t>Labor rate (on hardware + delivery + misc)</t>
        </is>
      </c>
      <c r="B23" s="9" t="n">
        <v>0.15</v>
      </c>
    </row>
    <row r="24">
      <c r="A24" t="inlineStr">
        <is>
          <t>Labor (salary, mobilization, install team)</t>
        </is>
      </c>
      <c r="B24" s="8">
        <f>(B20+B22)*B23</f>
        <v/>
      </c>
    </row>
    <row r="25">
      <c r="A25" s="10" t="inlineStr">
        <is>
          <t>OVERALL COST</t>
        </is>
      </c>
      <c r="B25" s="11">
        <f>B20+B22+B24</f>
        <v/>
      </c>
    </row>
    <row r="27">
      <c r="A27" s="5" t="inlineStr">
        <is>
          <t>MARGIN CHECK (output, never the driver)</t>
        </is>
      </c>
    </row>
    <row r="28">
      <c r="A28" t="inlineStr">
        <is>
          <t>Gross margin (price − cost)</t>
        </is>
      </c>
      <c r="B28" s="11">
        <f>B10-B25</f>
        <v/>
      </c>
    </row>
    <row r="29">
      <c r="A29" t="inlineStr">
        <is>
          <t>Gross margin % of price</t>
        </is>
      </c>
      <c r="B29" s="12">
        <f>IFERROR(B28/B10,0)</f>
        <v/>
      </c>
    </row>
    <row r="30">
      <c r="A30" t="inlineStr">
        <is>
          <t>Margin floor (NO house default — founders set &amp; log)</t>
        </is>
      </c>
      <c r="B30" s="9" t="n">
        <v>0.2</v>
      </c>
    </row>
    <row r="31">
      <c r="A31" s="10" t="inlineStr">
        <is>
          <t>Status</t>
        </is>
      </c>
      <c r="B31" s="13">
        <f>IF(B29&gt;=B30,"OK — clears floor","BELOW FLOOR by "&amp;TEXT(B30-B29,"0.0%")&amp;" — re-cost or re-scope, do NOT discount below corridor")</f>
        <v/>
      </c>
    </row>
    <row r="33">
      <c r="A33" s="5" t="inlineStr">
        <is>
          <t>TRUE NET (what actually lands — the old sheet's “Net Sales” ignored all of this)</t>
        </is>
      </c>
    </row>
    <row r="34">
      <c r="A34" t="inlineStr">
        <is>
          <t>Referral rate (₱ per kW — meeting #7)</t>
        </is>
      </c>
      <c r="B34" s="7" t="n">
        <v>1000</v>
      </c>
    </row>
    <row r="35">
      <c r="A35" t="inlineStr">
        <is>
          <t>Referral fee</t>
        </is>
      </c>
      <c r="B35" s="8">
        <f>B34*B6</f>
        <v/>
      </c>
    </row>
    <row r="36">
      <c r="A36" t="inlineStr">
        <is>
          <t>Tax set-aside rate  [CONFIRM with accountant]</t>
        </is>
      </c>
      <c r="B36" s="9" t="n">
        <v>0.03</v>
      </c>
    </row>
    <row r="37">
      <c r="A37" t="inlineStr">
        <is>
          <t>Tax set-aside (rate × price)</t>
        </is>
      </c>
      <c r="B37" s="8">
        <f>B10*B36</f>
        <v/>
      </c>
    </row>
    <row r="38">
      <c r="A38" t="inlineStr">
        <is>
          <t>Permits &amp; fees allowance  [UNVERIFIED — replace]</t>
        </is>
      </c>
      <c r="B38" s="7" t="n">
        <v>5000</v>
      </c>
    </row>
    <row r="39">
      <c r="A39" t="inlineStr">
        <is>
          <t>Warranty reserve rate  [UNVERIFIED — founders set]</t>
        </is>
      </c>
      <c r="B39" s="9" t="n">
        <v>0.02</v>
      </c>
    </row>
    <row r="40">
      <c r="A40" t="inlineStr">
        <is>
          <t>Warranty reserve (rate × price)</t>
        </is>
      </c>
      <c r="B40" s="8">
        <f>B10*B39</f>
        <v/>
      </c>
    </row>
    <row r="41">
      <c r="A41" s="10" t="inlineStr">
        <is>
          <t>TRUE NET</t>
        </is>
      </c>
      <c r="B41" s="11">
        <f>B28-B35-B37-B38-B40</f>
        <v/>
      </c>
    </row>
    <row r="42">
      <c r="A42" t="inlineStr">
        <is>
          <t>True net % of price</t>
        </is>
      </c>
      <c r="B42" s="12">
        <f>IFERROR(B41/B10,0)</f>
        <v/>
      </c>
    </row>
    <row r="44">
      <c r="A44" s="5" t="inlineStr">
        <is>
          <t>PRE-SEND CHECKLIST — quote goes out ONLY when every box is ☑ (Founder OS §7)</t>
        </is>
      </c>
    </row>
    <row r="45">
      <c r="A45" s="2" t="inlineStr">
        <is>
          <t>☐ Permit path confirmed (LGU electrical permit; HOA rules if applicable)</t>
        </is>
      </c>
    </row>
    <row r="46">
      <c r="A46" s="2" t="inlineStr">
        <is>
          <t>☐ Licensed electrician sign-off arranged and named</t>
        </is>
      </c>
    </row>
    <row r="47">
      <c r="A47" s="2" t="inlineStr">
        <is>
          <t>☐ Net-metering decision documented (hybrid: optional — state it either way)</t>
        </is>
      </c>
    </row>
    <row r="48">
      <c r="A48" s="2" t="inlineStr">
        <is>
          <t>☐ Backup-hours claim computed from battery size honestly — no inflation (§1.6)</t>
        </is>
      </c>
    </row>
    <row r="49">
      <c r="A49" s="2" t="inlineStr">
        <is>
          <t>☐ Payment terms per meeting #7: 30–50% down, balance 30 days on acknowledgement</t>
        </is>
      </c>
    </row>
    <row r="50">
      <c r="A50" s="2" t="inlineStr">
        <is>
          <t>☐ Benchmark price re-verified this month (competitor quotes move)</t>
        </is>
      </c>
    </row>
  </sheetData>
  <conditionalFormatting sqref="B31">
    <cfRule type="expression" priority="1" dxfId="0">
      <formula>$B$29&lt;$B$30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" customWidth="1" min="3" max="3"/>
    <col width="78" customWidth="1" min="4" max="4"/>
  </cols>
  <sheetData>
    <row r="1">
      <c r="A1" s="1" t="inlineStr">
        <is>
          <t>MACC Systems &amp; Engineering Inc.</t>
        </is>
      </c>
    </row>
    <row r="2">
      <c r="A2" s="3" t="inlineStr">
        <is>
          <t>Corridor-priced build — Template</t>
        </is>
      </c>
    </row>
    <row r="3">
      <c r="A3" s="4" t="inlineStr">
        <is>
          <t>Amber cells are inputs. Price is set from the market FIRST; margin is the check. Cost-plus is banned (Founder OS §3).</t>
        </is>
      </c>
    </row>
    <row r="5">
      <c r="A5" s="5" t="inlineStr">
        <is>
          <t>MARKET → PRICE (set first)</t>
        </is>
      </c>
      <c r="D5" s="5" t="inlineStr">
        <is>
          <t>TERMS &amp; NOTES</t>
        </is>
      </c>
    </row>
    <row r="6" ht="42" customHeight="1">
      <c r="A6" t="inlineStr">
        <is>
          <t>System size (kW)</t>
        </is>
      </c>
      <c r="B6" s="6" t="n">
        <v>0</v>
      </c>
      <c r="D6" s="4" t="inlineStr">
        <is>
          <t>Corridor price — set from what the buyer already pays for the alternatives (established installer ≈₱70k/kW, genset + fuel, the Meralco bill). The price is an INPUT from the market; margin is the OUTPUT. Never markup-on-cost (Founder OS §3).</t>
        </is>
      </c>
    </row>
    <row r="7" ht="42" customHeight="1">
      <c r="A7" t="inlineStr">
        <is>
          <t>Competitor benchmark (₱ per kW)</t>
        </is>
      </c>
      <c r="B7" s="7" t="n">
        <v>70000</v>
      </c>
      <c r="D7" s="4" t="inlineStr">
        <is>
          <t>Benchmark — Lacosta ≈₱70,000 per kW (undated quote — verify before every send; prices move fast).</t>
        </is>
      </c>
    </row>
    <row r="8" ht="42" customHeight="1">
      <c r="A8" t="inlineStr">
        <is>
          <t>Benchmark project total</t>
        </is>
      </c>
      <c r="B8" s="8">
        <f>B6*B7</f>
        <v/>
      </c>
      <c r="D8" s="4" t="inlineStr">
        <is>
          <t>Purchases — supplier-quoted major devices: inverter, panels, battery, DC cables.</t>
        </is>
      </c>
    </row>
    <row r="9" ht="42" customHeight="1">
      <c r="A9" t="inlineStr">
        <is>
          <t>Target undercut vs benchmark</t>
        </is>
      </c>
      <c r="B9" s="9" t="n">
        <v>0.05</v>
      </c>
      <c r="D9" s="4" t="inlineStr">
        <is>
          <t>Delivery — all shipping/pick-up expenses related to the purchases.</t>
        </is>
      </c>
    </row>
    <row r="10" ht="42" customHeight="1">
      <c r="A10" s="10" t="inlineStr">
        <is>
          <t>PROJECT PRICE (the quoted number)</t>
        </is>
      </c>
      <c r="B10" s="11">
        <f>ROUND(B8*(1-B9),-2)</f>
        <v/>
      </c>
      <c r="D10" s="4" t="inlineStr">
        <is>
          <t>Miscellaneous — connectors, SPD, breakers, moulding, disposable tools. ⚠ This sheet carries the historical 18%; meeting #7's quotation template says ≈5% of material cost. UNRESOLVED — founders reconcile and log the chosen rate in ops/status.md.</t>
        </is>
      </c>
    </row>
    <row r="11" ht="42" customHeight="1">
      <c r="A11" t="inlineStr">
        <is>
          <t>Our ₱ per kW</t>
        </is>
      </c>
      <c r="B11" s="8">
        <f>IFERROR(B10/B6,0)</f>
        <v/>
      </c>
      <c r="D11" s="4" t="inlineStr">
        <is>
          <t>Labor — computed on hardware + delivery + misc, so it compounds: effective overhead ≈ (1+misc)×(1+labor)−1 ≈ 35.7% at 18%/15%.</t>
        </is>
      </c>
    </row>
    <row r="12" ht="42" customHeight="1">
      <c r="A12" t="inlineStr">
        <is>
          <t>Customer saves vs benchmark</t>
        </is>
      </c>
      <c r="B12" s="8">
        <f>B8-B10</f>
        <v/>
      </c>
      <c r="C12" s="12">
        <f>IFERROR(1-B10/B8,0)</f>
        <v/>
      </c>
      <c r="D12" s="4" t="inlineStr">
        <is>
          <t>Margin floor — minimum gross-margin %, a founder decision with no house default yet. Set it once, log it in ops/status.md.</t>
        </is>
      </c>
    </row>
    <row r="13" ht="42" customHeight="1">
      <c r="D13" s="4" t="inlineStr">
        <is>
          <t>True net — gross margin minus referral (₱1,000/kW per meeting #7), tax set-aside (3% percentage tax if non-VAT; 12% VAT regime differs — confirm BIR registration with the accountant), permits, and warranty reserve. The old sheet's “NET SALES” counted none of these.</t>
        </is>
      </c>
    </row>
    <row r="14" ht="42" customHeight="1">
      <c r="A14" s="5" t="inlineStr">
        <is>
          <t>COST STACK (target-costed to the price)</t>
        </is>
      </c>
      <c r="D14" s="4" t="inlineStr">
        <is>
          <t>Scope note — 6 kW is ABOVE the published residential ladder (tops out at 4 kWp). These projects are logged as whole-cow / SANDIGAN+ demand evidence (Founder OS §3), not as a new SKU.</t>
        </is>
      </c>
    </row>
    <row r="15">
      <c r="A15" t="inlineStr">
        <is>
          <t>Hybrid inverter — size/model</t>
        </is>
      </c>
      <c r="B15" s="7" t="n">
        <v>0</v>
      </c>
    </row>
    <row r="16">
      <c r="A16" t="inlineStr">
        <is>
          <t>Solar panels — qty × W</t>
        </is>
      </c>
      <c r="B16" s="7" t="n">
        <v>0</v>
      </c>
    </row>
    <row r="17">
      <c r="A17" t="inlineStr">
        <is>
          <t>Battery — V / Ah</t>
        </is>
      </c>
      <c r="B17" s="7" t="n">
        <v>0</v>
      </c>
    </row>
    <row r="18">
      <c r="A18" t="inlineStr">
        <is>
          <t>DC cables</t>
        </is>
      </c>
      <c r="B18" s="7" t="n">
        <v>0</v>
      </c>
    </row>
    <row r="19">
      <c r="A19" t="inlineStr">
        <is>
          <t>Delivery / freight</t>
        </is>
      </c>
      <c r="B19" s="7" t="n">
        <v>0</v>
      </c>
    </row>
    <row r="20">
      <c r="A20" s="10" t="inlineStr">
        <is>
          <t>Subtotal — hardware + delivery</t>
        </is>
      </c>
      <c r="B20" s="11">
        <f>SUM(B15:B19)</f>
        <v/>
      </c>
    </row>
    <row r="21">
      <c r="A21" t="inlineStr">
        <is>
          <t>Miscellaneous rate</t>
        </is>
      </c>
      <c r="B21" s="9" t="n">
        <v>0.18</v>
      </c>
    </row>
    <row r="22">
      <c r="A22" t="inlineStr">
        <is>
          <t>Miscellaneous (connectors, SPD, breakers, moulding, tools)</t>
        </is>
      </c>
      <c r="B22" s="8">
        <f>B20*B21</f>
        <v/>
      </c>
    </row>
    <row r="23">
      <c r="A23" t="inlineStr">
        <is>
          <t>Labor rate (on hardware + delivery + misc)</t>
        </is>
      </c>
      <c r="B23" s="9" t="n">
        <v>0.15</v>
      </c>
    </row>
    <row r="24">
      <c r="A24" t="inlineStr">
        <is>
          <t>Labor (salary, mobilization, install team)</t>
        </is>
      </c>
      <c r="B24" s="8">
        <f>(B20+B22)*B23</f>
        <v/>
      </c>
    </row>
    <row r="25">
      <c r="A25" s="10" t="inlineStr">
        <is>
          <t>OVERALL COST</t>
        </is>
      </c>
      <c r="B25" s="11">
        <f>B20+B22+B24</f>
        <v/>
      </c>
    </row>
    <row r="27">
      <c r="A27" s="5" t="inlineStr">
        <is>
          <t>MARGIN CHECK (output, never the driver)</t>
        </is>
      </c>
    </row>
    <row r="28">
      <c r="A28" t="inlineStr">
        <is>
          <t>Gross margin (price − cost)</t>
        </is>
      </c>
      <c r="B28" s="11">
        <f>B10-B25</f>
        <v/>
      </c>
    </row>
    <row r="29">
      <c r="A29" t="inlineStr">
        <is>
          <t>Gross margin % of price</t>
        </is>
      </c>
      <c r="B29" s="12">
        <f>IFERROR(B28/B10,0)</f>
        <v/>
      </c>
    </row>
    <row r="30">
      <c r="A30" t="inlineStr">
        <is>
          <t>Margin floor (NO house default — founders set &amp; log)</t>
        </is>
      </c>
      <c r="B30" s="9" t="n">
        <v>0.2</v>
      </c>
    </row>
    <row r="31">
      <c r="A31" s="10" t="inlineStr">
        <is>
          <t>Status</t>
        </is>
      </c>
      <c r="B31" s="13">
        <f>IF(B29&gt;=B30,"OK — clears floor","BELOW FLOOR by "&amp;TEXT(B30-B29,"0.0%")&amp;" — re-cost or re-scope, do NOT discount below corridor")</f>
        <v/>
      </c>
    </row>
    <row r="33">
      <c r="A33" s="5" t="inlineStr">
        <is>
          <t>TRUE NET (what actually lands — the old sheet's “Net Sales” ignored all of this)</t>
        </is>
      </c>
    </row>
    <row r="34">
      <c r="A34" t="inlineStr">
        <is>
          <t>Referral rate (₱ per kW — meeting #7)</t>
        </is>
      </c>
      <c r="B34" s="7" t="n">
        <v>1000</v>
      </c>
    </row>
    <row r="35">
      <c r="A35" t="inlineStr">
        <is>
          <t>Referral fee</t>
        </is>
      </c>
      <c r="B35" s="8">
        <f>B34*B6</f>
        <v/>
      </c>
    </row>
    <row r="36">
      <c r="A36" t="inlineStr">
        <is>
          <t>Tax set-aside rate  [CONFIRM with accountant]</t>
        </is>
      </c>
      <c r="B36" s="9" t="n">
        <v>0.03</v>
      </c>
    </row>
    <row r="37">
      <c r="A37" t="inlineStr">
        <is>
          <t>Tax set-aside (rate × price)</t>
        </is>
      </c>
      <c r="B37" s="8">
        <f>B10*B36</f>
        <v/>
      </c>
    </row>
    <row r="38">
      <c r="A38" t="inlineStr">
        <is>
          <t>Permits &amp; fees allowance  [UNVERIFIED — replace]</t>
        </is>
      </c>
      <c r="B38" s="7" t="n">
        <v>5000</v>
      </c>
    </row>
    <row r="39">
      <c r="A39" t="inlineStr">
        <is>
          <t>Warranty reserve rate  [UNVERIFIED — founders set]</t>
        </is>
      </c>
      <c r="B39" s="9" t="n">
        <v>0.02</v>
      </c>
    </row>
    <row r="40">
      <c r="A40" t="inlineStr">
        <is>
          <t>Warranty reserve (rate × price)</t>
        </is>
      </c>
      <c r="B40" s="8">
        <f>B10*B39</f>
        <v/>
      </c>
    </row>
    <row r="41">
      <c r="A41" s="10" t="inlineStr">
        <is>
          <t>TRUE NET</t>
        </is>
      </c>
      <c r="B41" s="11">
        <f>B28-B35-B37-B38-B40</f>
        <v/>
      </c>
    </row>
    <row r="42">
      <c r="A42" t="inlineStr">
        <is>
          <t>True net % of price</t>
        </is>
      </c>
      <c r="B42" s="12">
        <f>IFERROR(B41/B10,0)</f>
        <v/>
      </c>
    </row>
    <row r="44">
      <c r="A44" s="5" t="inlineStr">
        <is>
          <t>PRE-SEND CHECKLIST — quote goes out ONLY when every box is ☑ (Founder OS §7)</t>
        </is>
      </c>
    </row>
    <row r="45">
      <c r="A45" s="2" t="inlineStr">
        <is>
          <t>☐ Permit path confirmed (LGU electrical permit; HOA rules if applicable)</t>
        </is>
      </c>
    </row>
    <row r="46">
      <c r="A46" s="2" t="inlineStr">
        <is>
          <t>☐ Licensed electrician sign-off arranged and named</t>
        </is>
      </c>
    </row>
    <row r="47">
      <c r="A47" s="2" t="inlineStr">
        <is>
          <t>☐ Net-metering decision documented (hybrid: optional — state it either way)</t>
        </is>
      </c>
    </row>
    <row r="48">
      <c r="A48" s="2" t="inlineStr">
        <is>
          <t>☐ Backup-hours claim computed from battery size honestly — no inflation (§1.6)</t>
        </is>
      </c>
    </row>
    <row r="49">
      <c r="A49" s="2" t="inlineStr">
        <is>
          <t>☐ Payment terms per meeting #7: 30–50% down, balance 30 days on acknowledgement</t>
        </is>
      </c>
    </row>
    <row r="50">
      <c r="A50" s="2" t="inlineStr">
        <is>
          <t>☐ Benchmark price re-verified this month (competitor quotes move)</t>
        </is>
      </c>
    </row>
  </sheetData>
  <conditionalFormatting sqref="B31">
    <cfRule type="expression" priority="1" dxfId="0">
      <formula>$B$29&lt;$B$30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2026-08-01T19:48:58Z</dcterms:created>
  <dcterms:modified xsi:type="dcterms:W3CDTF">2026-08-01T19:48:58Z</dcterms:modified>
</cp:coreProperties>
</file>